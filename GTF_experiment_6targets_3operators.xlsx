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avineticsAI\tools\m1-gtf\"/>
    </mc:Choice>
  </mc:AlternateContent>
  <xr:revisionPtr revIDLastSave="0" documentId="13_ncr:1_{378926A0-6119-437C-91CC-2FAF0375542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" sheetId="1" r:id="rId1"/>
    <sheet name="Interobserver_RM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" l="1"/>
  <c r="P7" i="2"/>
  <c r="O7" i="2"/>
  <c r="M7" i="2"/>
  <c r="L7" i="2"/>
  <c r="J5" i="2"/>
  <c r="I5" i="2"/>
  <c r="H7" i="2"/>
  <c r="H6" i="2"/>
  <c r="H4" i="2"/>
  <c r="H5" i="2"/>
  <c r="G7" i="2"/>
  <c r="G6" i="2"/>
  <c r="G5" i="2"/>
  <c r="F7" i="2"/>
  <c r="F6" i="2"/>
  <c r="F5" i="2"/>
  <c r="E7" i="2"/>
  <c r="E6" i="2"/>
  <c r="E5" i="2"/>
  <c r="D7" i="2"/>
  <c r="D6" i="2"/>
  <c r="D5" i="2"/>
  <c r="C7" i="2"/>
  <c r="C6" i="2"/>
  <c r="C5" i="2"/>
  <c r="B7" i="2"/>
  <c r="C2" i="2"/>
  <c r="D2" i="2"/>
  <c r="E2" i="2"/>
  <c r="F2" i="2"/>
  <c r="G2" i="2"/>
  <c r="H2" i="2"/>
  <c r="I2" i="2"/>
  <c r="J2" i="2"/>
  <c r="K2" i="2"/>
  <c r="Q2" i="2" s="1"/>
  <c r="L2" i="2"/>
  <c r="O2" i="2" s="1"/>
  <c r="M2" i="2"/>
  <c r="P2" i="2" s="1"/>
  <c r="N2" i="2"/>
  <c r="B6" i="2"/>
  <c r="B5" i="2"/>
  <c r="Q3" i="1"/>
  <c r="Q18" i="1"/>
  <c r="Q19" i="1"/>
  <c r="P3" i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P19" i="1"/>
  <c r="P2" i="1"/>
  <c r="Q2" i="1" s="1"/>
  <c r="K7" i="2"/>
  <c r="J7" i="2"/>
  <c r="I7" i="2"/>
  <c r="J6" i="2"/>
  <c r="I6" i="2"/>
  <c r="J4" i="2"/>
  <c r="I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B2" i="2"/>
  <c r="N7" i="2" l="1"/>
  <c r="L4" i="2"/>
  <c r="O4" i="2" s="1"/>
  <c r="L3" i="2"/>
  <c r="O3" i="2" s="1"/>
  <c r="K3" i="2"/>
  <c r="N3" i="2" s="1"/>
  <c r="K5" i="2"/>
  <c r="N5" i="2" s="1"/>
  <c r="L5" i="2"/>
  <c r="O5" i="2" s="1"/>
  <c r="M5" i="2"/>
  <c r="K6" i="2"/>
  <c r="N6" i="2" s="1"/>
  <c r="L6" i="2"/>
  <c r="O6" i="2" s="1"/>
  <c r="K4" i="2"/>
  <c r="N4" i="2" s="1"/>
  <c r="M6" i="2"/>
  <c r="P6" i="2" s="1"/>
  <c r="M4" i="2"/>
  <c r="P4" i="2" s="1"/>
  <c r="M3" i="2"/>
  <c r="P3" i="2" s="1"/>
  <c r="Q5" i="2" l="1"/>
  <c r="Q3" i="2"/>
  <c r="P5" i="2"/>
  <c r="Q6" i="2"/>
  <c r="Q4" i="2"/>
</calcChain>
</file>

<file path=xl/sharedStrings.xml><?xml version="1.0" encoding="utf-8"?>
<sst xmlns="http://schemas.openxmlformats.org/spreadsheetml/2006/main" count="94" uniqueCount="46">
  <si>
    <t>Target ID</t>
  </si>
  <si>
    <t>XO (mm)</t>
  </si>
  <si>
    <t>YO (mm)</t>
  </si>
  <si>
    <t>ZO (mm)</t>
  </si>
  <si>
    <t>Side</t>
  </si>
  <si>
    <t>Collar α (deg)</t>
  </si>
  <si>
    <t>Arc θ (deg)</t>
  </si>
  <si>
    <t>L_new (mm)</t>
  </si>
  <si>
    <t>x_new (mm)</t>
  </si>
  <si>
    <t>y_new (mm)</t>
  </si>
  <si>
    <t>Operator</t>
  </si>
  <si>
    <t>Trial</t>
  </si>
  <si>
    <t>T1</t>
  </si>
  <si>
    <t>L</t>
  </si>
  <si>
    <t>T2</t>
  </si>
  <si>
    <t>M</t>
  </si>
  <si>
    <t>T4</t>
  </si>
  <si>
    <t>R</t>
  </si>
  <si>
    <t>T5</t>
  </si>
  <si>
    <t>Op1 XE</t>
  </si>
  <si>
    <t>Op1 YE</t>
  </si>
  <si>
    <t>Op1 ZE</t>
  </si>
  <si>
    <t>Op2 XE</t>
  </si>
  <si>
    <t>Op2 YE</t>
  </si>
  <si>
    <t>Op2 ZE</t>
  </si>
  <si>
    <t>Op3 XE</t>
  </si>
  <si>
    <t>Op3 YE</t>
  </si>
  <si>
    <t>Op3 ZE</t>
  </si>
  <si>
    <t>µX</t>
  </si>
  <si>
    <t>µY</t>
  </si>
  <si>
    <t>µZ</t>
  </si>
  <si>
    <t>RMSE_X</t>
  </si>
  <si>
    <t>RMSE_Y</t>
  </si>
  <si>
    <t>RMSE_Z</t>
  </si>
  <si>
    <t>RMSE_3D</t>
  </si>
  <si>
    <t>T3L</t>
  </si>
  <si>
    <t>T3R</t>
  </si>
  <si>
    <t>MAH</t>
  </si>
  <si>
    <t>CO</t>
  </si>
  <si>
    <t>AK</t>
  </si>
  <si>
    <t>Target</t>
  </si>
  <si>
    <t>Error_X</t>
  </si>
  <si>
    <t>Error_Y</t>
  </si>
  <si>
    <t>Error_Dist</t>
  </si>
  <si>
    <t>Error_Pos</t>
  </si>
  <si>
    <t>Error_Total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</si>
</sst>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4E79"/>
      <name val="Calibri"/>
    </font>
    <font>
      <sz val="11"/>
      <color rgb="FF006100"/>
      <name val="Calibri"/>
    </font>
    <font>
      <sz val="10"/>
      <color rgb="FF31333F"/>
      <name val="Arial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/>
    <xf numFmtId="0" fontId="3" fillId="0" borderId="2" xfId="0" applyFon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3" fillId="0" borderId="3" xfId="0" applyFont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9"/>
        <name val="Calibri"/>
        <scheme val="none"/>
      </font>
      <alignment horizontal="righ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2124A-6C79-46A4-8DEC-486F9213C040}" name="Table1" displayName="Table1" ref="A1:Q19" totalsRowShown="0" headerRowDxfId="15" dataDxfId="13" headerRowBorderDxfId="14" tableBorderDxfId="12">
  <autoFilter ref="A1:Q19" xr:uid="{E8F2124A-6C79-46A4-8DEC-486F9213C040}"/>
  <tableColumns count="17">
    <tableColumn id="1" xr3:uid="{D1909E1C-2239-4EAC-A5A1-C535292D8570}" name="Target" dataDxfId="11"/>
    <tableColumn id="2" xr3:uid="{C6A45386-B546-4F88-8A5D-165351A897A4}" name="XO (mm)" dataDxfId="10"/>
    <tableColumn id="3" xr3:uid="{2EFBF938-E404-40C8-9822-4F14F1260F18}" name="YO (mm)" dataDxfId="9"/>
    <tableColumn id="4" xr3:uid="{4E380E58-31D0-450E-AB15-7F0D4B0F311D}" name="ZO (mm)" dataDxfId="8"/>
    <tableColumn id="5" xr3:uid="{9E6FC009-1715-4DA6-93E1-74AF6508E719}" name="Side" dataDxfId="7"/>
    <tableColumn id="6" xr3:uid="{8D3C0DC2-3F49-4EE3-812C-E86081C20D92}" name="Collar α (deg)" dataDxfId="6"/>
    <tableColumn id="7" xr3:uid="{6FE652D0-C268-469D-96F8-68CEBE382476}" name="Arc θ (deg)" dataDxfId="5"/>
    <tableColumn id="8" xr3:uid="{E8CCA632-CC85-45A5-B241-12D66C3C91C2}" name="L_new (mm)"/>
    <tableColumn id="9" xr3:uid="{A0CF669D-3E80-4C62-A79E-451DB781B257}" name="x_new (mm)"/>
    <tableColumn id="10" xr3:uid="{70C0748D-B345-4747-9EA4-BF7AB86E3BA8}" name="y_new (mm)"/>
    <tableColumn id="11" xr3:uid="{7BF9C6A8-DFA3-4ADA-81AC-27E77E88F3D8}" name="Operator" dataDxfId="4"/>
    <tableColumn id="12" xr3:uid="{B5094B32-3475-46F3-8FE3-1BC0B47557CF}" name="Trial" dataDxfId="3"/>
    <tableColumn id="13" xr3:uid="{1AAFB5C1-C4D0-4F06-8A9A-D8FA9CA721B5}" name="Error_X" dataDxfId="2"/>
    <tableColumn id="14" xr3:uid="{6C1509A9-45C2-4465-80C3-463A91C91E4D}" name="Error_Y" dataDxfId="1"/>
    <tableColumn id="15" xr3:uid="{C24CF33C-AD95-4209-B3AD-AEE9EF8F2950}" name="Error_Dist" dataDxfId="0"/>
    <tableColumn id="16" xr3:uid="{F67E89C0-448A-4F4A-BE90-321ADC98341E}" name="Error_Pos">
      <calculatedColumnFormula>SQRT((M2*M2) +(N2*N2))</calculatedColumnFormula>
    </tableColumn>
    <tableColumn id="17" xr3:uid="{D0DF95E9-FA2D-477A-8F89-1885078BE610}" name="Error_Total">
      <calculatedColumnFormula>SQRT((O2*O2)+(P2*P2))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pane ySplit="1" topLeftCell="A5" activePane="bottomLeft" state="frozen"/>
      <selection pane="bottomLeft" activeCell="M26" sqref="M26"/>
    </sheetView>
  </sheetViews>
  <sheetFormatPr defaultRowHeight="14.4" x14ac:dyDescent="0.55000000000000004"/>
  <cols>
    <col min="1" max="1" width="5.9453125" customWidth="1"/>
    <col min="2" max="2" width="5.20703125" customWidth="1"/>
    <col min="3" max="3" width="5.15625" customWidth="1"/>
    <col min="4" max="4" width="5.20703125" customWidth="1"/>
    <col min="5" max="5" width="6" customWidth="1"/>
    <col min="6" max="6" width="7.62890625" customWidth="1"/>
    <col min="7" max="7" width="6.9453125" customWidth="1"/>
    <col min="8" max="8" width="11.7890625" customWidth="1"/>
    <col min="9" max="9" width="12.734375" customWidth="1"/>
    <col min="10" max="10" width="12.7890625" customWidth="1"/>
    <col min="11" max="11" width="9.9453125" customWidth="1"/>
    <col min="12" max="12" width="6.05078125" customWidth="1"/>
    <col min="13" max="14" width="14" customWidth="1"/>
    <col min="15" max="15" width="18.62890625" customWidth="1"/>
    <col min="16" max="16" width="15.05078125" customWidth="1"/>
    <col min="17" max="17" width="22.47265625" customWidth="1"/>
  </cols>
  <sheetData>
    <row r="1" spans="1:17" s="13" customFormat="1" ht="25.8" x14ac:dyDescent="0.5">
      <c r="A1" s="11" t="s">
        <v>40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41</v>
      </c>
      <c r="N1" s="12" t="s">
        <v>42</v>
      </c>
      <c r="O1" s="12" t="s">
        <v>43</v>
      </c>
      <c r="P1" s="12" t="s">
        <v>44</v>
      </c>
      <c r="Q1" s="12" t="s">
        <v>45</v>
      </c>
    </row>
    <row r="2" spans="1:17" x14ac:dyDescent="0.55000000000000004">
      <c r="A2" s="9" t="s">
        <v>12</v>
      </c>
      <c r="B2" s="3">
        <v>140</v>
      </c>
      <c r="C2" s="3">
        <v>140</v>
      </c>
      <c r="D2" s="3">
        <v>110</v>
      </c>
      <c r="E2" s="4" t="s">
        <v>13</v>
      </c>
      <c r="F2" s="5">
        <v>75</v>
      </c>
      <c r="G2" s="5">
        <v>100</v>
      </c>
      <c r="H2">
        <v>160.4</v>
      </c>
      <c r="I2" s="6">
        <v>141.80000000000001</v>
      </c>
      <c r="J2" s="7">
        <v>142.69999999999999</v>
      </c>
      <c r="K2" s="2" t="s">
        <v>37</v>
      </c>
      <c r="L2" s="4">
        <v>1</v>
      </c>
      <c r="M2" s="5">
        <v>0.99</v>
      </c>
      <c r="N2" s="5">
        <v>0.4</v>
      </c>
      <c r="O2" s="5">
        <v>0.9</v>
      </c>
      <c r="P2">
        <f>SQRT((M2*M2) +(N2*N2))</f>
        <v>1.067754653466797</v>
      </c>
      <c r="Q2">
        <f>SQRT((O2*O2)+(P2*P2))</f>
        <v>1.3964598096615597</v>
      </c>
    </row>
    <row r="3" spans="1:17" x14ac:dyDescent="0.55000000000000004">
      <c r="A3" s="9" t="s">
        <v>12</v>
      </c>
      <c r="B3" s="3">
        <v>140</v>
      </c>
      <c r="C3" s="3">
        <v>140</v>
      </c>
      <c r="D3" s="3">
        <v>110</v>
      </c>
      <c r="E3" s="4" t="s">
        <v>13</v>
      </c>
      <c r="F3" s="5">
        <v>75</v>
      </c>
      <c r="G3" s="5">
        <v>100</v>
      </c>
      <c r="H3">
        <v>160.4</v>
      </c>
      <c r="I3" s="6">
        <v>141.80000000000001</v>
      </c>
      <c r="J3" s="7">
        <v>142.69999999999999</v>
      </c>
      <c r="K3" s="2" t="s">
        <v>38</v>
      </c>
      <c r="L3" s="4">
        <v>1</v>
      </c>
      <c r="M3" s="5">
        <v>1.01</v>
      </c>
      <c r="N3" s="5">
        <v>0.5</v>
      </c>
      <c r="O3" s="5">
        <v>0.2</v>
      </c>
      <c r="P3">
        <f t="shared" ref="P3:P19" si="0">SQRT((M3*M3) +(N3*N3))</f>
        <v>1.1269871339105872</v>
      </c>
      <c r="Q3">
        <f t="shared" ref="Q3:Q19" si="1">SQRT((O3*O3)+(P3*P3))</f>
        <v>1.1445959985951375</v>
      </c>
    </row>
    <row r="4" spans="1:17" x14ac:dyDescent="0.55000000000000004">
      <c r="A4" s="9" t="s">
        <v>12</v>
      </c>
      <c r="B4" s="3">
        <v>140</v>
      </c>
      <c r="C4" s="3">
        <v>140</v>
      </c>
      <c r="D4" s="3">
        <v>110</v>
      </c>
      <c r="E4" s="4" t="s">
        <v>13</v>
      </c>
      <c r="F4" s="5">
        <v>75</v>
      </c>
      <c r="G4" s="5">
        <v>100</v>
      </c>
      <c r="H4">
        <v>160.4</v>
      </c>
      <c r="I4" s="6">
        <v>141.80000000000001</v>
      </c>
      <c r="J4" s="7">
        <v>142.69999999999999</v>
      </c>
      <c r="K4" s="2" t="s">
        <v>39</v>
      </c>
      <c r="L4" s="4">
        <v>1</v>
      </c>
      <c r="M4" s="5">
        <v>1.04</v>
      </c>
      <c r="N4" s="5">
        <v>0.67</v>
      </c>
      <c r="O4" s="5">
        <v>0.6</v>
      </c>
      <c r="P4">
        <f t="shared" si="0"/>
        <v>1.2371337841963577</v>
      </c>
      <c r="Q4">
        <f t="shared" si="1"/>
        <v>1.3749545447032057</v>
      </c>
    </row>
    <row r="5" spans="1:17" x14ac:dyDescent="0.55000000000000004">
      <c r="A5" s="9" t="s">
        <v>14</v>
      </c>
      <c r="B5" s="3">
        <v>140</v>
      </c>
      <c r="C5" s="3">
        <v>70</v>
      </c>
      <c r="D5" s="3">
        <v>70</v>
      </c>
      <c r="E5" s="4" t="s">
        <v>13</v>
      </c>
      <c r="F5" s="5">
        <v>90</v>
      </c>
      <c r="G5" s="5">
        <v>100</v>
      </c>
      <c r="H5">
        <v>120</v>
      </c>
      <c r="I5">
        <v>134.79</v>
      </c>
      <c r="J5" s="6">
        <v>70</v>
      </c>
      <c r="K5" s="2" t="s">
        <v>37</v>
      </c>
      <c r="L5" s="4">
        <v>1</v>
      </c>
      <c r="M5" s="5">
        <v>0.2</v>
      </c>
      <c r="N5" s="5">
        <v>1.25</v>
      </c>
      <c r="O5" s="5">
        <v>0.06</v>
      </c>
      <c r="P5">
        <f t="shared" si="0"/>
        <v>1.2658988901172163</v>
      </c>
      <c r="Q5">
        <f t="shared" si="1"/>
        <v>1.2673200069437869</v>
      </c>
    </row>
    <row r="6" spans="1:17" x14ac:dyDescent="0.55000000000000004">
      <c r="A6" s="9" t="s">
        <v>14</v>
      </c>
      <c r="B6" s="3">
        <v>140</v>
      </c>
      <c r="C6" s="3">
        <v>70</v>
      </c>
      <c r="D6" s="3">
        <v>70</v>
      </c>
      <c r="E6" s="4" t="s">
        <v>13</v>
      </c>
      <c r="F6" s="5">
        <v>90</v>
      </c>
      <c r="G6" s="5">
        <v>100</v>
      </c>
      <c r="H6">
        <v>120</v>
      </c>
      <c r="I6">
        <v>134.79</v>
      </c>
      <c r="J6" s="6">
        <v>70</v>
      </c>
      <c r="K6" s="2" t="s">
        <v>38</v>
      </c>
      <c r="L6" s="4">
        <v>1</v>
      </c>
      <c r="M6" s="5">
        <v>0</v>
      </c>
      <c r="N6" s="5">
        <v>1.46</v>
      </c>
      <c r="O6" s="5">
        <v>0.02</v>
      </c>
      <c r="P6">
        <f t="shared" si="0"/>
        <v>1.46</v>
      </c>
      <c r="Q6">
        <f t="shared" si="1"/>
        <v>1.4601369798755184</v>
      </c>
    </row>
    <row r="7" spans="1:17" x14ac:dyDescent="0.55000000000000004">
      <c r="A7" s="9" t="s">
        <v>14</v>
      </c>
      <c r="B7" s="3">
        <v>140</v>
      </c>
      <c r="C7" s="3">
        <v>70</v>
      </c>
      <c r="D7" s="3">
        <v>70</v>
      </c>
      <c r="E7" s="4" t="s">
        <v>13</v>
      </c>
      <c r="F7" s="5">
        <v>90</v>
      </c>
      <c r="G7" s="5">
        <v>100</v>
      </c>
      <c r="H7">
        <v>120</v>
      </c>
      <c r="I7">
        <v>134.79</v>
      </c>
      <c r="J7" s="10">
        <v>70</v>
      </c>
      <c r="K7" s="2" t="s">
        <v>39</v>
      </c>
      <c r="L7" s="4">
        <v>1</v>
      </c>
      <c r="M7" s="5">
        <v>0.46</v>
      </c>
      <c r="N7" s="5">
        <v>0.37</v>
      </c>
      <c r="O7" s="5">
        <v>0.89</v>
      </c>
      <c r="P7">
        <f t="shared" si="0"/>
        <v>0.59033888572581772</v>
      </c>
      <c r="Q7">
        <f t="shared" si="1"/>
        <v>1.067988763985839</v>
      </c>
    </row>
    <row r="8" spans="1:17" x14ac:dyDescent="0.55000000000000004">
      <c r="A8" s="9" t="s">
        <v>35</v>
      </c>
      <c r="B8" s="3">
        <v>100</v>
      </c>
      <c r="C8" s="3">
        <v>100</v>
      </c>
      <c r="D8" s="3">
        <v>90</v>
      </c>
      <c r="E8" s="4" t="s">
        <v>15</v>
      </c>
      <c r="F8" s="5">
        <v>75</v>
      </c>
      <c r="G8" s="5">
        <v>105</v>
      </c>
      <c r="H8">
        <v>139.6</v>
      </c>
      <c r="I8">
        <v>97.3</v>
      </c>
      <c r="J8" s="8">
        <v>97.3</v>
      </c>
      <c r="K8" s="2" t="s">
        <v>37</v>
      </c>
      <c r="L8" s="4">
        <v>1</v>
      </c>
      <c r="M8" s="5">
        <v>0.05</v>
      </c>
      <c r="N8" s="5">
        <v>0.5</v>
      </c>
      <c r="O8" s="5">
        <v>0.4</v>
      </c>
      <c r="P8">
        <f t="shared" si="0"/>
        <v>0.50249378105604448</v>
      </c>
      <c r="Q8">
        <f t="shared" si="1"/>
        <v>0.64226162893325645</v>
      </c>
    </row>
    <row r="9" spans="1:17" x14ac:dyDescent="0.55000000000000004">
      <c r="A9" s="9" t="s">
        <v>35</v>
      </c>
      <c r="B9" s="3">
        <v>100</v>
      </c>
      <c r="C9" s="3">
        <v>100</v>
      </c>
      <c r="D9" s="3">
        <v>90</v>
      </c>
      <c r="E9" s="4" t="s">
        <v>15</v>
      </c>
      <c r="F9" s="5">
        <v>75</v>
      </c>
      <c r="G9" s="5">
        <v>105</v>
      </c>
      <c r="H9">
        <v>139.6</v>
      </c>
      <c r="I9">
        <v>97.3</v>
      </c>
      <c r="J9" s="8">
        <v>97.3</v>
      </c>
      <c r="K9" s="2" t="s">
        <v>38</v>
      </c>
      <c r="L9" s="4">
        <v>1</v>
      </c>
      <c r="M9" s="5">
        <v>0.3</v>
      </c>
      <c r="N9" s="5">
        <v>0.39</v>
      </c>
      <c r="O9" s="5">
        <v>0.3</v>
      </c>
      <c r="P9">
        <f t="shared" si="0"/>
        <v>0.49203658400570177</v>
      </c>
      <c r="Q9">
        <f t="shared" si="1"/>
        <v>0.57628118136895634</v>
      </c>
    </row>
    <row r="10" spans="1:17" x14ac:dyDescent="0.55000000000000004">
      <c r="A10" s="9" t="s">
        <v>35</v>
      </c>
      <c r="B10" s="3">
        <v>100</v>
      </c>
      <c r="C10" s="3">
        <v>100</v>
      </c>
      <c r="D10" s="3">
        <v>90</v>
      </c>
      <c r="E10" s="4" t="s">
        <v>15</v>
      </c>
      <c r="F10" s="5">
        <v>75</v>
      </c>
      <c r="G10" s="5">
        <v>105</v>
      </c>
      <c r="H10">
        <v>139.6</v>
      </c>
      <c r="I10">
        <v>97.3</v>
      </c>
      <c r="J10" s="8">
        <v>97.3</v>
      </c>
      <c r="K10" s="2" t="s">
        <v>39</v>
      </c>
      <c r="L10" s="4">
        <v>1</v>
      </c>
      <c r="M10" s="5">
        <v>0.59</v>
      </c>
      <c r="N10" s="5">
        <v>0.47</v>
      </c>
      <c r="O10" s="5">
        <v>0.5</v>
      </c>
      <c r="P10">
        <f t="shared" si="0"/>
        <v>0.7543208866258444</v>
      </c>
      <c r="Q10">
        <f t="shared" si="1"/>
        <v>0.90498618773990136</v>
      </c>
    </row>
    <row r="11" spans="1:17" x14ac:dyDescent="0.55000000000000004">
      <c r="A11" s="9" t="s">
        <v>36</v>
      </c>
      <c r="B11" s="3">
        <v>100</v>
      </c>
      <c r="C11" s="3">
        <v>100</v>
      </c>
      <c r="D11" s="3">
        <v>90</v>
      </c>
      <c r="E11" s="4" t="s">
        <v>15</v>
      </c>
      <c r="F11" s="5">
        <v>75</v>
      </c>
      <c r="G11" s="5">
        <v>75</v>
      </c>
      <c r="H11">
        <v>139.6</v>
      </c>
      <c r="I11">
        <v>102.7</v>
      </c>
      <c r="J11" s="8">
        <v>97.3</v>
      </c>
      <c r="K11" s="2" t="s">
        <v>37</v>
      </c>
      <c r="L11" s="4">
        <v>1</v>
      </c>
      <c r="M11" s="5">
        <v>0.28999999999999998</v>
      </c>
      <c r="N11" s="5">
        <v>0.13</v>
      </c>
      <c r="O11" s="5">
        <v>1.31</v>
      </c>
      <c r="P11">
        <f t="shared" si="0"/>
        <v>0.31780497164141408</v>
      </c>
      <c r="Q11">
        <f t="shared" si="1"/>
        <v>1.3479985163196584</v>
      </c>
    </row>
    <row r="12" spans="1:17" x14ac:dyDescent="0.55000000000000004">
      <c r="A12" s="9" t="s">
        <v>36</v>
      </c>
      <c r="B12" s="3">
        <v>100</v>
      </c>
      <c r="C12" s="3">
        <v>100</v>
      </c>
      <c r="D12" s="3">
        <v>90</v>
      </c>
      <c r="E12" s="4" t="s">
        <v>15</v>
      </c>
      <c r="F12" s="5">
        <v>75</v>
      </c>
      <c r="G12" s="5">
        <v>75</v>
      </c>
      <c r="H12">
        <v>139.6</v>
      </c>
      <c r="I12">
        <v>102.7</v>
      </c>
      <c r="J12" s="8">
        <v>97.3</v>
      </c>
      <c r="K12" s="2" t="s">
        <v>38</v>
      </c>
      <c r="L12" s="4">
        <v>1</v>
      </c>
      <c r="M12" s="5">
        <v>0.42</v>
      </c>
      <c r="N12" s="5">
        <v>0</v>
      </c>
      <c r="O12" s="5">
        <v>0.65</v>
      </c>
      <c r="P12">
        <f t="shared" si="0"/>
        <v>0.42</v>
      </c>
      <c r="Q12">
        <f t="shared" si="1"/>
        <v>0.77388629655783414</v>
      </c>
    </row>
    <row r="13" spans="1:17" x14ac:dyDescent="0.55000000000000004">
      <c r="A13" s="9" t="s">
        <v>36</v>
      </c>
      <c r="B13" s="3">
        <v>100</v>
      </c>
      <c r="C13" s="3">
        <v>100</v>
      </c>
      <c r="D13" s="3">
        <v>90</v>
      </c>
      <c r="E13" s="4" t="s">
        <v>15</v>
      </c>
      <c r="F13" s="5">
        <v>75</v>
      </c>
      <c r="G13" s="5">
        <v>75</v>
      </c>
      <c r="H13">
        <v>139.6</v>
      </c>
      <c r="I13">
        <v>102.7</v>
      </c>
      <c r="J13" s="8">
        <v>97.3</v>
      </c>
      <c r="K13" s="2" t="s">
        <v>39</v>
      </c>
      <c r="L13" s="4">
        <v>1</v>
      </c>
      <c r="M13" s="5">
        <v>0.49</v>
      </c>
      <c r="N13" s="5">
        <v>0.16</v>
      </c>
      <c r="O13" s="5">
        <v>1.08</v>
      </c>
      <c r="P13">
        <f t="shared" si="0"/>
        <v>0.5154609587543949</v>
      </c>
      <c r="Q13">
        <f t="shared" si="1"/>
        <v>1.1967038062946069</v>
      </c>
    </row>
    <row r="14" spans="1:17" x14ac:dyDescent="0.55000000000000004">
      <c r="A14" s="9" t="s">
        <v>16</v>
      </c>
      <c r="B14" s="3">
        <v>60</v>
      </c>
      <c r="C14" s="3">
        <v>140</v>
      </c>
      <c r="D14" s="3">
        <v>80</v>
      </c>
      <c r="E14" s="4" t="s">
        <v>15</v>
      </c>
      <c r="F14" s="5">
        <v>75</v>
      </c>
      <c r="G14" s="5">
        <v>80</v>
      </c>
      <c r="H14">
        <v>129.30000000000001</v>
      </c>
      <c r="I14">
        <v>63.6</v>
      </c>
      <c r="J14" s="8">
        <v>134.6</v>
      </c>
      <c r="K14" s="2" t="s">
        <v>37</v>
      </c>
      <c r="L14" s="4">
        <v>1</v>
      </c>
      <c r="M14" s="5">
        <v>0.72</v>
      </c>
      <c r="N14" s="5">
        <v>0.9</v>
      </c>
      <c r="O14" s="5">
        <v>1.83</v>
      </c>
      <c r="P14">
        <f t="shared" si="0"/>
        <v>1.1525623627379127</v>
      </c>
      <c r="Q14">
        <f t="shared" si="1"/>
        <v>2.1627066375262274</v>
      </c>
    </row>
    <row r="15" spans="1:17" x14ac:dyDescent="0.55000000000000004">
      <c r="A15" s="9" t="s">
        <v>16</v>
      </c>
      <c r="B15" s="3">
        <v>60</v>
      </c>
      <c r="C15" s="3">
        <v>140</v>
      </c>
      <c r="D15" s="3">
        <v>80</v>
      </c>
      <c r="E15" s="4" t="s">
        <v>17</v>
      </c>
      <c r="F15" s="5">
        <v>75</v>
      </c>
      <c r="G15" s="5">
        <v>80</v>
      </c>
      <c r="H15">
        <v>129.30000000000001</v>
      </c>
      <c r="I15">
        <v>63.6</v>
      </c>
      <c r="J15" s="8">
        <v>134.6</v>
      </c>
      <c r="K15" s="2" t="s">
        <v>38</v>
      </c>
      <c r="L15" s="4">
        <v>1</v>
      </c>
      <c r="M15" s="5">
        <v>0</v>
      </c>
      <c r="N15" s="5">
        <v>0</v>
      </c>
      <c r="O15" s="5">
        <v>1.33</v>
      </c>
      <c r="P15">
        <f t="shared" si="0"/>
        <v>0</v>
      </c>
      <c r="Q15">
        <f t="shared" si="1"/>
        <v>1.33</v>
      </c>
    </row>
    <row r="16" spans="1:17" x14ac:dyDescent="0.55000000000000004">
      <c r="A16" s="9" t="s">
        <v>16</v>
      </c>
      <c r="B16" s="3">
        <v>60</v>
      </c>
      <c r="C16" s="3">
        <v>140</v>
      </c>
      <c r="D16" s="3">
        <v>80</v>
      </c>
      <c r="E16" s="4" t="s">
        <v>17</v>
      </c>
      <c r="F16" s="5">
        <v>75</v>
      </c>
      <c r="G16" s="5">
        <v>80</v>
      </c>
      <c r="H16">
        <v>129.30000000000001</v>
      </c>
      <c r="I16">
        <v>63.6</v>
      </c>
      <c r="J16" s="8">
        <v>134.6</v>
      </c>
      <c r="K16" s="2" t="s">
        <v>39</v>
      </c>
      <c r="L16" s="4">
        <v>1</v>
      </c>
      <c r="M16" s="5">
        <v>0.15</v>
      </c>
      <c r="N16" s="5">
        <v>0.37</v>
      </c>
      <c r="O16" s="5">
        <v>1.1599999999999999</v>
      </c>
      <c r="P16">
        <f t="shared" si="0"/>
        <v>0.39924929555354255</v>
      </c>
      <c r="Q16">
        <f t="shared" si="1"/>
        <v>1.2267844146385296</v>
      </c>
    </row>
    <row r="17" spans="1:17" x14ac:dyDescent="0.55000000000000004">
      <c r="A17" s="9" t="s">
        <v>18</v>
      </c>
      <c r="B17" s="3">
        <v>60</v>
      </c>
      <c r="C17" s="3">
        <v>70</v>
      </c>
      <c r="D17" s="3">
        <v>100</v>
      </c>
      <c r="E17" s="4" t="s">
        <v>17</v>
      </c>
      <c r="F17" s="5">
        <v>75</v>
      </c>
      <c r="G17" s="5">
        <v>80</v>
      </c>
      <c r="H17">
        <v>150</v>
      </c>
      <c r="I17">
        <v>60</v>
      </c>
      <c r="J17">
        <v>70</v>
      </c>
      <c r="K17" s="2" t="s">
        <v>37</v>
      </c>
      <c r="L17" s="4">
        <v>1</v>
      </c>
      <c r="M17" s="5">
        <v>0</v>
      </c>
      <c r="N17" s="5">
        <v>0.47</v>
      </c>
      <c r="O17" s="5">
        <v>0.43</v>
      </c>
      <c r="P17">
        <f t="shared" si="0"/>
        <v>0.47</v>
      </c>
      <c r="Q17">
        <f t="shared" si="1"/>
        <v>0.63702433234531941</v>
      </c>
    </row>
    <row r="18" spans="1:17" x14ac:dyDescent="0.55000000000000004">
      <c r="A18" s="9" t="s">
        <v>18</v>
      </c>
      <c r="B18" s="3">
        <v>60</v>
      </c>
      <c r="C18" s="3">
        <v>70</v>
      </c>
      <c r="D18" s="3">
        <v>100</v>
      </c>
      <c r="E18" s="4" t="s">
        <v>17</v>
      </c>
      <c r="F18" s="5">
        <v>75</v>
      </c>
      <c r="G18" s="5">
        <v>80</v>
      </c>
      <c r="H18">
        <v>150</v>
      </c>
      <c r="I18">
        <v>60</v>
      </c>
      <c r="J18">
        <v>70</v>
      </c>
      <c r="K18" s="2" t="s">
        <v>38</v>
      </c>
      <c r="L18" s="4">
        <v>1</v>
      </c>
      <c r="M18" s="5">
        <v>0.37</v>
      </c>
      <c r="N18" s="5">
        <v>1.65</v>
      </c>
      <c r="O18" s="5">
        <v>1.69</v>
      </c>
      <c r="P18">
        <f t="shared" si="0"/>
        <v>1.6909760495051369</v>
      </c>
      <c r="Q18">
        <f t="shared" si="1"/>
        <v>2.3907111912566936</v>
      </c>
    </row>
    <row r="19" spans="1:17" x14ac:dyDescent="0.55000000000000004">
      <c r="A19" s="9" t="s">
        <v>18</v>
      </c>
      <c r="B19" s="3">
        <v>60</v>
      </c>
      <c r="C19" s="3">
        <v>70</v>
      </c>
      <c r="D19" s="3">
        <v>100</v>
      </c>
      <c r="E19" s="4" t="s">
        <v>17</v>
      </c>
      <c r="F19" s="5">
        <v>75</v>
      </c>
      <c r="G19" s="5">
        <v>80</v>
      </c>
      <c r="H19">
        <v>150</v>
      </c>
      <c r="I19">
        <v>60</v>
      </c>
      <c r="J19">
        <v>70</v>
      </c>
      <c r="K19" s="2" t="s">
        <v>39</v>
      </c>
      <c r="L19" s="4">
        <v>1</v>
      </c>
      <c r="M19" s="5">
        <v>0</v>
      </c>
      <c r="N19" s="5">
        <v>0.34</v>
      </c>
      <c r="O19" s="5">
        <v>0.51</v>
      </c>
      <c r="P19">
        <f t="shared" si="0"/>
        <v>0.34</v>
      </c>
      <c r="Q19">
        <f t="shared" si="1"/>
        <v>0.61294371682887816</v>
      </c>
    </row>
  </sheetData>
  <conditionalFormatting sqref="O2:O19">
    <cfRule type="colorScale" priority="3">
      <colorScale>
        <cfvo type="min"/>
        <cfvo type="max"/>
        <color rgb="FFFCFCFF"/>
        <color rgb="FFF8696B"/>
      </colorScale>
    </cfRule>
  </conditionalFormatting>
  <conditionalFormatting sqref="P2:P19">
    <cfRule type="colorScale" priority="2">
      <colorScale>
        <cfvo type="min"/>
        <cfvo type="max"/>
        <color rgb="FFFCFCFF"/>
        <color rgb="FFF8696B"/>
      </colorScale>
    </cfRule>
  </conditionalFormatting>
  <conditionalFormatting sqref="Q2:Q19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pane ySplit="1" topLeftCell="A2" activePane="bottomLeft" state="frozen"/>
      <selection pane="bottomLeft" activeCell="Q8" sqref="Q8"/>
    </sheetView>
  </sheetViews>
  <sheetFormatPr defaultRowHeight="14.4" x14ac:dyDescent="0.55000000000000004"/>
  <cols>
    <col min="1" max="1" width="9" customWidth="1"/>
    <col min="2" max="10" width="10" customWidth="1"/>
    <col min="11" max="13" width="8" customWidth="1"/>
    <col min="14" max="16" width="10" customWidth="1"/>
    <col min="17" max="17" width="12" customWidth="1"/>
  </cols>
  <sheetData>
    <row r="1" spans="1:17" ht="28" customHeight="1" x14ac:dyDescent="0.55000000000000004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 x14ac:dyDescent="0.55000000000000004">
      <c r="A2" s="2" t="s">
        <v>12</v>
      </c>
      <c r="B2" s="3">
        <f>Data!M2</f>
        <v>0.99</v>
      </c>
      <c r="C2" s="3">
        <f>Data!N2</f>
        <v>0.4</v>
      </c>
      <c r="D2" s="3">
        <f>Data!O2</f>
        <v>0.9</v>
      </c>
      <c r="E2" s="3">
        <f>Data!M3</f>
        <v>1.01</v>
      </c>
      <c r="F2" s="3">
        <f>Data!N3</f>
        <v>0.5</v>
      </c>
      <c r="G2" s="3">
        <f>Data!O3</f>
        <v>0.2</v>
      </c>
      <c r="H2" s="3">
        <f>Data!M4</f>
        <v>1.04</v>
      </c>
      <c r="I2" s="3">
        <f>Data!N4</f>
        <v>0.67</v>
      </c>
      <c r="J2" s="3">
        <f>Data!O4</f>
        <v>0.6</v>
      </c>
      <c r="K2" s="3">
        <f t="shared" ref="K2:M7" si="0">AVERAGE(B2,E2,H2)</f>
        <v>1.0133333333333334</v>
      </c>
      <c r="L2" s="3">
        <f t="shared" si="0"/>
        <v>0.52333333333333332</v>
      </c>
      <c r="M2" s="3">
        <f t="shared" si="0"/>
        <v>0.56666666666666676</v>
      </c>
      <c r="N2" s="3">
        <f t="shared" ref="N2:P7" si="1">SQRT(((B2-K2)^2+(E2-K2)^2+(H2-K2)^2)/3)</f>
        <v>2.0548046676563275E-2</v>
      </c>
      <c r="O2" s="3">
        <f t="shared" si="1"/>
        <v>0.11145502331533659</v>
      </c>
      <c r="P2" s="3">
        <f t="shared" si="1"/>
        <v>0.28674417556808757</v>
      </c>
      <c r="Q2" s="3">
        <f t="shared" ref="Q2:Q4" si="2">SQRT(((B2-K2)^2+(C2-L2)^2+(D2-M2)^2+(E2-K2)^2+(F2-L2)^2+(G2-M2)^2+(H2-K2)^2+(I2-L2)^2+(J2-M2)^2)/3)</f>
        <v>0.30832882879592477</v>
      </c>
    </row>
    <row r="3" spans="1:17" x14ac:dyDescent="0.55000000000000004">
      <c r="A3" s="2" t="s">
        <v>14</v>
      </c>
      <c r="B3" s="3">
        <f>Data!M5</f>
        <v>0.2</v>
      </c>
      <c r="C3" s="3">
        <f>Data!N5</f>
        <v>1.25</v>
      </c>
      <c r="D3" s="3">
        <f>Data!O5</f>
        <v>0.06</v>
      </c>
      <c r="E3" s="3">
        <f>Data!M6</f>
        <v>0</v>
      </c>
      <c r="F3" s="3">
        <f>Data!N6</f>
        <v>1.46</v>
      </c>
      <c r="G3" s="3">
        <f>Data!O6</f>
        <v>0.02</v>
      </c>
      <c r="H3" s="3">
        <f>Data!M7</f>
        <v>0.46</v>
      </c>
      <c r="I3" s="3">
        <f>Data!N7</f>
        <v>0.37</v>
      </c>
      <c r="J3" s="3">
        <f>Data!O7</f>
        <v>0.89</v>
      </c>
      <c r="K3" s="3">
        <f t="shared" si="0"/>
        <v>0.22</v>
      </c>
      <c r="L3" s="3">
        <f t="shared" si="0"/>
        <v>1.0266666666666666</v>
      </c>
      <c r="M3" s="3">
        <f t="shared" si="0"/>
        <v>0.32333333333333331</v>
      </c>
      <c r="N3" s="3">
        <f t="shared" si="1"/>
        <v>0.18832595855767378</v>
      </c>
      <c r="O3" s="3">
        <f t="shared" si="1"/>
        <v>0.47218169760755824</v>
      </c>
      <c r="P3" s="3">
        <f t="shared" si="1"/>
        <v>0.40102646075068688</v>
      </c>
      <c r="Q3" s="3">
        <f t="shared" si="2"/>
        <v>0.64749088367670815</v>
      </c>
    </row>
    <row r="4" spans="1:17" x14ac:dyDescent="0.55000000000000004">
      <c r="A4" s="2" t="s">
        <v>35</v>
      </c>
      <c r="B4" s="3">
        <f>Data!M8</f>
        <v>0.05</v>
      </c>
      <c r="C4" s="3">
        <f>Data!N8</f>
        <v>0.5</v>
      </c>
      <c r="D4" s="3">
        <f>Data!O8</f>
        <v>0.4</v>
      </c>
      <c r="E4" s="3">
        <f>Data!M9</f>
        <v>0.3</v>
      </c>
      <c r="F4" s="3">
        <f>Data!N9</f>
        <v>0.39</v>
      </c>
      <c r="G4" s="3">
        <f>Data!O9</f>
        <v>0.3</v>
      </c>
      <c r="H4" s="3">
        <f>Data!M10</f>
        <v>0.59</v>
      </c>
      <c r="I4" s="3">
        <f>Data!N10</f>
        <v>0.47</v>
      </c>
      <c r="J4" s="3">
        <f>Data!O10</f>
        <v>0.5</v>
      </c>
      <c r="K4" s="3">
        <f t="shared" si="0"/>
        <v>0.3133333333333333</v>
      </c>
      <c r="L4" s="3">
        <f t="shared" si="0"/>
        <v>0.45333333333333331</v>
      </c>
      <c r="M4" s="3">
        <f t="shared" si="0"/>
        <v>0.39999999999999997</v>
      </c>
      <c r="N4" s="3">
        <f t="shared" si="1"/>
        <v>0.22065558884580486</v>
      </c>
      <c r="O4" s="3">
        <f t="shared" si="1"/>
        <v>4.6427960923947055E-2</v>
      </c>
      <c r="P4" s="3">
        <f t="shared" si="1"/>
        <v>8.1649658092772609E-2</v>
      </c>
      <c r="Q4" s="3">
        <f t="shared" si="2"/>
        <v>0.23981474331473263</v>
      </c>
    </row>
    <row r="5" spans="1:17" x14ac:dyDescent="0.55000000000000004">
      <c r="A5" s="2" t="s">
        <v>36</v>
      </c>
      <c r="B5" s="3">
        <f>Data!M11</f>
        <v>0.28999999999999998</v>
      </c>
      <c r="C5" s="3">
        <f>Data!N11</f>
        <v>0.13</v>
      </c>
      <c r="D5" s="3">
        <f>Data!O11</f>
        <v>1.31</v>
      </c>
      <c r="E5" s="3">
        <f>Data!M12</f>
        <v>0.42</v>
      </c>
      <c r="F5" s="3">
        <f>Data!N12</f>
        <v>0</v>
      </c>
      <c r="G5" s="3">
        <f>Data!O12</f>
        <v>0.65</v>
      </c>
      <c r="H5" s="3">
        <f>Data!M13</f>
        <v>0.49</v>
      </c>
      <c r="I5" s="3">
        <f>Data!N13</f>
        <v>0.16</v>
      </c>
      <c r="J5" s="3">
        <f>Data!O13</f>
        <v>1.08</v>
      </c>
      <c r="K5" s="3">
        <f t="shared" si="0"/>
        <v>0.39999999999999997</v>
      </c>
      <c r="L5" s="3">
        <f>AVERAGE(C5,F5,I6)</f>
        <v>0.16666666666666666</v>
      </c>
      <c r="M5" s="3">
        <f>AVERAGE(D5,G5,J6)</f>
        <v>1.04</v>
      </c>
      <c r="N5" s="3">
        <f t="shared" si="1"/>
        <v>8.2865352631040362E-2</v>
      </c>
      <c r="O5" s="3">
        <f>SQRT(((C5-L5)^2+(F5-L5)^2+(I6-L5)^2)/3)</f>
        <v>0.15326085243430199</v>
      </c>
      <c r="P5" s="3">
        <f>SQRT(((D5-M5)^2+(G5-M5)^2+(J6-M5)^2)/3)</f>
        <v>0.28248893783651069</v>
      </c>
      <c r="Q5" s="3">
        <f>SQRT(((B5-K5)^2+(C5-L5)^2+(D5-M5)^2+(E5-K5)^2+(F5-L5)^2+(G5-M5)^2+(H5-K5)^2+(I6-L5)^2+(J6-M5)^2)/3)</f>
        <v>0.33189690501051006</v>
      </c>
    </row>
    <row r="6" spans="1:17" x14ac:dyDescent="0.55000000000000004">
      <c r="A6" s="2" t="s">
        <v>16</v>
      </c>
      <c r="B6" s="3">
        <f>Data!M14</f>
        <v>0.72</v>
      </c>
      <c r="C6" s="3">
        <f>Data!N14</f>
        <v>0.9</v>
      </c>
      <c r="D6" s="3">
        <f>Data!O114</f>
        <v>0</v>
      </c>
      <c r="E6" s="3">
        <f>Data!M15</f>
        <v>0</v>
      </c>
      <c r="F6" s="3">
        <f>Data!N15</f>
        <v>0</v>
      </c>
      <c r="G6" s="3">
        <f>Data!O15</f>
        <v>1.33</v>
      </c>
      <c r="H6" s="3">
        <f>Data!M16</f>
        <v>0.15</v>
      </c>
      <c r="I6" s="3">
        <f>Data!N16</f>
        <v>0.37</v>
      </c>
      <c r="J6" s="3">
        <f>Data!O16</f>
        <v>1.1599999999999999</v>
      </c>
      <c r="K6" s="3">
        <f t="shared" si="0"/>
        <v>0.28999999999999998</v>
      </c>
      <c r="L6" s="3">
        <f>AVERAGE(C6,F6,I7)</f>
        <v>0.41333333333333333</v>
      </c>
      <c r="M6" s="3">
        <f>AVERAGE(D6,G6,J7)</f>
        <v>0.6133333333333334</v>
      </c>
      <c r="N6" s="3">
        <f t="shared" si="1"/>
        <v>0.31016124838541642</v>
      </c>
      <c r="O6" s="3">
        <f>SQRT(((C6-L6)^2+(F6-L6)^2+(I7-L6)^2)/3)</f>
        <v>0.37106453466868655</v>
      </c>
      <c r="P6" s="3">
        <f>SQRT(((D6-M6)^2+(G6-M6)^2+(J7-M6)^2)/3)</f>
        <v>0.54786454124678996</v>
      </c>
      <c r="Q6" s="3">
        <f>SQRT(((B6-K6)^2+(C6-L6)^2+(D6-M6)^2+(E6-K6)^2+(F6-L6)^2+(G6-M6)^2+(H6-K6)^2+(I7-L6)^2+(J7-M6)^2)/3)</f>
        <v>0.73078344565571851</v>
      </c>
    </row>
    <row r="7" spans="1:17" x14ac:dyDescent="0.55000000000000004">
      <c r="A7" s="2" t="s">
        <v>18</v>
      </c>
      <c r="B7" s="3">
        <f>Data!M17</f>
        <v>0</v>
      </c>
      <c r="C7" s="3">
        <f>Data!N17</f>
        <v>0.47</v>
      </c>
      <c r="D7" s="3">
        <f>Data!O17</f>
        <v>0.43</v>
      </c>
      <c r="E7" s="3">
        <f>Data!M18</f>
        <v>0.37</v>
      </c>
      <c r="F7" s="3">
        <f>Data!N18</f>
        <v>1.65</v>
      </c>
      <c r="G7" s="3">
        <f>Data!O18</f>
        <v>1.69</v>
      </c>
      <c r="H7" s="3">
        <f>Data!M19</f>
        <v>0</v>
      </c>
      <c r="I7" s="3">
        <f>Data!N19</f>
        <v>0.34</v>
      </c>
      <c r="J7" s="3">
        <f>Data!O19</f>
        <v>0.51</v>
      </c>
      <c r="K7" s="3">
        <f t="shared" si="0"/>
        <v>0.12333333333333334</v>
      </c>
      <c r="L7" s="3">
        <f>AVERAGE(C7,F7,I7)</f>
        <v>0.82</v>
      </c>
      <c r="M7" s="3">
        <f>AVERAGE(D7,G7,J7)</f>
        <v>0.87666666666666659</v>
      </c>
      <c r="N7" s="3">
        <f t="shared" si="1"/>
        <v>0.17441967269268172</v>
      </c>
      <c r="O7" s="3">
        <f>SQRT(((C7-L7)^2+(F7-L7)^2+(I7-L7)^2)/3)</f>
        <v>0.58929336214373451</v>
      </c>
      <c r="P7" s="3">
        <f>SQRT(((D7-M7)^2+(G7-M7)^2+(J7-M7)^2)/3)</f>
        <v>0.57604012205941191</v>
      </c>
      <c r="Q7" s="3">
        <f>SQRT(((B7-K7)^2+(C7-L7)^2+(D7-M7)^2+(E7-K7)^2+(F7-L7)^2+(G7-M7)^2+(H7-K7)^2+(I7-L7)^2+(J7-M7)^2)/3)</f>
        <v>0.84232482517797791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Interobserver_RMSE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 Aditya</cp:lastModifiedBy>
  <dcterms:created xsi:type="dcterms:W3CDTF">2026-02-26T15:52:34Z</dcterms:created>
  <dcterms:modified xsi:type="dcterms:W3CDTF">2026-02-28T00:04:02Z</dcterms:modified>
</cp:coreProperties>
</file>