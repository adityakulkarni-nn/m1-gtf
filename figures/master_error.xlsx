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/>
  <mc:AlternateContent xmlns:mc="http://schemas.openxmlformats.org/markup-compatibility/2006">
    <mc:Choice Requires="x15">
      <x15ac:absPath xmlns:x15ac="http://schemas.microsoft.com/office/spreadsheetml/2010/11/ac" url="/Users/adityakulkarni/Downloads/error_cal/"/>
    </mc:Choice>
  </mc:AlternateContent>
  <xr:revisionPtr revIDLastSave="0" documentId="13_ncr:1_{E1369635-2849-B043-B3A3-B8242F7FBDDF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adjusted_position" sheetId="1" r:id="rId1"/>
    <sheet name="adap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" l="1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" i="1"/>
  <c r="Q2" i="1" s="1"/>
</calcChain>
</file>

<file path=xl/sharedStrings.xml><?xml version="1.0" encoding="utf-8"?>
<sst xmlns="http://schemas.openxmlformats.org/spreadsheetml/2006/main" count="119" uniqueCount="29">
  <si>
    <t>target_id</t>
  </si>
  <si>
    <t>x_0</t>
  </si>
  <si>
    <t>y_0</t>
  </si>
  <si>
    <t>z_0</t>
  </si>
  <si>
    <t>side</t>
  </si>
  <si>
    <t>collar</t>
  </si>
  <si>
    <t>arc</t>
  </si>
  <si>
    <t>distance_new</t>
  </si>
  <si>
    <t>x_new</t>
  </si>
  <si>
    <t>y_new</t>
  </si>
  <si>
    <t>operator</t>
  </si>
  <si>
    <t>trial</t>
  </si>
  <si>
    <t>error_x</t>
  </si>
  <si>
    <t>error_y</t>
  </si>
  <si>
    <t>diff_distance</t>
  </si>
  <si>
    <t>error_z</t>
  </si>
  <si>
    <t>total_error</t>
  </si>
  <si>
    <t>T1</t>
  </si>
  <si>
    <t>L</t>
  </si>
  <si>
    <t>MAH</t>
  </si>
  <si>
    <t>CO</t>
  </si>
  <si>
    <t>AK</t>
  </si>
  <si>
    <t>T2</t>
  </si>
  <si>
    <t>T3L</t>
  </si>
  <si>
    <t>M</t>
  </si>
  <si>
    <t>T3R</t>
  </si>
  <si>
    <t>T4</t>
  </si>
  <si>
    <t>R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</si>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</sst>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1F4E7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zoomScale="130" zoomScaleNormal="130" workbookViewId="0">
      <selection activeCell="H2" sqref="H2:H19"/>
    </sheetView>
  </sheetViews>
  <sheetFormatPr baseColWidth="10" defaultColWidth="8.83203125" defaultRowHeight="15" x14ac:dyDescent="0.2"/>
  <cols>
    <col min="1" max="1" width="8.1640625" bestFit="1" customWidth="1"/>
    <col min="2" max="4" width="4.5" bestFit="1" customWidth="1"/>
    <col min="5" max="5" width="4.33203125" bestFit="1" customWidth="1"/>
    <col min="6" max="6" width="5.5" bestFit="1" customWidth="1"/>
    <col min="7" max="7" width="4.5" bestFit="1" customWidth="1"/>
    <col min="8" max="8" width="11.83203125" bestFit="1" customWidth="1"/>
    <col min="9" max="9" width="7.1640625" bestFit="1" customWidth="1"/>
    <col min="10" max="10" width="6.33203125" bestFit="1" customWidth="1"/>
    <col min="11" max="11" width="8" bestFit="1" customWidth="1"/>
    <col min="12" max="12" width="4.33203125" bestFit="1" customWidth="1"/>
    <col min="13" max="17" width="16.6640625" customWidth="1"/>
  </cols>
  <sheetData>
    <row r="1" spans="1:1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ht="16" x14ac:dyDescent="0.2">
      <c r="A2" s="3" t="s">
        <v>17</v>
      </c>
      <c r="B2" s="3">
        <v>140</v>
      </c>
      <c r="C2" s="3">
        <v>140</v>
      </c>
      <c r="D2" s="3">
        <v>110</v>
      </c>
      <c r="E2" s="3" t="s">
        <v>18</v>
      </c>
      <c r="F2" s="3">
        <v>75</v>
      </c>
      <c r="G2" s="3">
        <v>100</v>
      </c>
      <c r="H2" s="3">
        <v>160.4</v>
      </c>
      <c r="I2" s="3">
        <v>141.80000000000001</v>
      </c>
      <c r="J2" s="3">
        <v>142.69999999999999</v>
      </c>
      <c r="K2" s="3" t="s">
        <v>19</v>
      </c>
      <c r="L2" s="3">
        <v>1</v>
      </c>
      <c r="M2" s="3">
        <v>0.99</v>
      </c>
      <c r="N2" s="3">
        <v>0.4</v>
      </c>
      <c r="O2" s="3">
        <v>0.9</v>
      </c>
      <c r="P2" s="3">
        <f>O2*SIN(RADIANS(F2))</f>
        <v>0.86933324366016151</v>
      </c>
      <c r="Q2" s="2">
        <f>SQRT(SUMSQ(M2,N2,P2))</f>
        <v>1.3768951625060992</v>
      </c>
    </row>
    <row r="3" spans="1:17" ht="16" x14ac:dyDescent="0.2">
      <c r="A3" s="3" t="s">
        <v>17</v>
      </c>
      <c r="B3" s="3">
        <v>140</v>
      </c>
      <c r="C3" s="3">
        <v>140</v>
      </c>
      <c r="D3" s="3">
        <v>110</v>
      </c>
      <c r="E3" s="3" t="s">
        <v>18</v>
      </c>
      <c r="F3" s="3">
        <v>75</v>
      </c>
      <c r="G3" s="3">
        <v>100</v>
      </c>
      <c r="H3" s="3">
        <v>160.4</v>
      </c>
      <c r="I3" s="3">
        <v>141.80000000000001</v>
      </c>
      <c r="J3" s="3">
        <v>142.69999999999999</v>
      </c>
      <c r="K3" s="3" t="s">
        <v>20</v>
      </c>
      <c r="L3" s="3">
        <v>1</v>
      </c>
      <c r="M3" s="3">
        <v>1.01</v>
      </c>
      <c r="N3" s="3">
        <v>0.5</v>
      </c>
      <c r="O3" s="3">
        <v>0.2</v>
      </c>
      <c r="P3" s="3">
        <f t="shared" ref="P3:P19" si="0">O3*SIN(RADIANS(F3))</f>
        <v>0.19318516525781368</v>
      </c>
      <c r="Q3" s="2">
        <f t="shared" ref="Q3:Q19" si="1">SQRT(SUMSQ(M3,N3,P3))</f>
        <v>1.1434249026830265</v>
      </c>
    </row>
    <row r="4" spans="1:17" ht="16" x14ac:dyDescent="0.2">
      <c r="A4" s="3" t="s">
        <v>17</v>
      </c>
      <c r="B4" s="3">
        <v>140</v>
      </c>
      <c r="C4" s="3">
        <v>140</v>
      </c>
      <c r="D4" s="3">
        <v>110</v>
      </c>
      <c r="E4" s="3" t="s">
        <v>18</v>
      </c>
      <c r="F4" s="3">
        <v>75</v>
      </c>
      <c r="G4" s="3">
        <v>100</v>
      </c>
      <c r="H4" s="3">
        <v>160.4</v>
      </c>
      <c r="I4" s="3">
        <v>141.80000000000001</v>
      </c>
      <c r="J4" s="3">
        <v>142.69999999999999</v>
      </c>
      <c r="K4" s="3" t="s">
        <v>21</v>
      </c>
      <c r="L4" s="3">
        <v>1</v>
      </c>
      <c r="M4" s="3">
        <v>1.04</v>
      </c>
      <c r="N4" s="3">
        <v>0.67</v>
      </c>
      <c r="O4" s="3">
        <v>0.6</v>
      </c>
      <c r="P4" s="3">
        <f t="shared" si="0"/>
        <v>0.57955549577344101</v>
      </c>
      <c r="Q4" s="2">
        <f t="shared" si="1"/>
        <v>1.3661568623994826</v>
      </c>
    </row>
    <row r="5" spans="1:17" ht="16" x14ac:dyDescent="0.2">
      <c r="A5" s="3" t="s">
        <v>22</v>
      </c>
      <c r="B5" s="3">
        <v>140</v>
      </c>
      <c r="C5" s="3">
        <v>70</v>
      </c>
      <c r="D5" s="3">
        <v>70</v>
      </c>
      <c r="E5" s="3" t="s">
        <v>18</v>
      </c>
      <c r="F5" s="3">
        <v>90</v>
      </c>
      <c r="G5" s="3">
        <v>100</v>
      </c>
      <c r="H5" s="3">
        <v>120</v>
      </c>
      <c r="I5" s="3">
        <v>134.79</v>
      </c>
      <c r="J5" s="3">
        <v>70</v>
      </c>
      <c r="K5" s="3" t="s">
        <v>19</v>
      </c>
      <c r="L5" s="3">
        <v>1</v>
      </c>
      <c r="M5" s="3">
        <v>0.2</v>
      </c>
      <c r="N5" s="3">
        <v>1.25</v>
      </c>
      <c r="O5" s="3">
        <v>0.06</v>
      </c>
      <c r="P5" s="3">
        <f t="shared" si="0"/>
        <v>0.06</v>
      </c>
      <c r="Q5" s="2">
        <f t="shared" si="1"/>
        <v>1.2673200069437869</v>
      </c>
    </row>
    <row r="6" spans="1:17" ht="16" x14ac:dyDescent="0.2">
      <c r="A6" s="3" t="s">
        <v>22</v>
      </c>
      <c r="B6" s="3">
        <v>140</v>
      </c>
      <c r="C6" s="3">
        <v>70</v>
      </c>
      <c r="D6" s="3">
        <v>70</v>
      </c>
      <c r="E6" s="3" t="s">
        <v>18</v>
      </c>
      <c r="F6" s="3">
        <v>90</v>
      </c>
      <c r="G6" s="3">
        <v>100</v>
      </c>
      <c r="H6" s="3">
        <v>120</v>
      </c>
      <c r="I6" s="3">
        <v>134.79</v>
      </c>
      <c r="J6" s="3">
        <v>70</v>
      </c>
      <c r="K6" s="3" t="s">
        <v>20</v>
      </c>
      <c r="L6" s="3">
        <v>1</v>
      </c>
      <c r="M6" s="3">
        <v>0</v>
      </c>
      <c r="N6" s="3">
        <v>1.46</v>
      </c>
      <c r="O6" s="3">
        <v>0.02</v>
      </c>
      <c r="P6" s="3">
        <f t="shared" si="0"/>
        <v>0.02</v>
      </c>
      <c r="Q6" s="2">
        <f t="shared" si="1"/>
        <v>1.4601369798755184</v>
      </c>
    </row>
    <row r="7" spans="1:17" ht="16" x14ac:dyDescent="0.2">
      <c r="A7" s="3" t="s">
        <v>22</v>
      </c>
      <c r="B7" s="3">
        <v>140</v>
      </c>
      <c r="C7" s="3">
        <v>70</v>
      </c>
      <c r="D7" s="3">
        <v>70</v>
      </c>
      <c r="E7" s="3" t="s">
        <v>18</v>
      </c>
      <c r="F7" s="3">
        <v>90</v>
      </c>
      <c r="G7" s="3">
        <v>100</v>
      </c>
      <c r="H7" s="3">
        <v>120</v>
      </c>
      <c r="I7" s="3">
        <v>134.79</v>
      </c>
      <c r="J7" s="3">
        <v>70</v>
      </c>
      <c r="K7" s="3" t="s">
        <v>21</v>
      </c>
      <c r="L7" s="3">
        <v>1</v>
      </c>
      <c r="M7" s="3">
        <v>0.46</v>
      </c>
      <c r="N7" s="3">
        <v>0.37</v>
      </c>
      <c r="O7" s="3">
        <v>0.89</v>
      </c>
      <c r="P7" s="3">
        <f t="shared" si="0"/>
        <v>0.89</v>
      </c>
      <c r="Q7" s="2">
        <f t="shared" si="1"/>
        <v>1.067988763985839</v>
      </c>
    </row>
    <row r="8" spans="1:17" ht="16" x14ac:dyDescent="0.2">
      <c r="A8" s="3" t="s">
        <v>23</v>
      </c>
      <c r="B8" s="3">
        <v>100</v>
      </c>
      <c r="C8" s="3">
        <v>100</v>
      </c>
      <c r="D8" s="3">
        <v>90</v>
      </c>
      <c r="E8" s="3" t="s">
        <v>24</v>
      </c>
      <c r="F8" s="3">
        <v>75</v>
      </c>
      <c r="G8" s="3">
        <v>105</v>
      </c>
      <c r="H8" s="3">
        <v>139.6</v>
      </c>
      <c r="I8" s="3">
        <v>97.3</v>
      </c>
      <c r="J8" s="3">
        <v>97.3</v>
      </c>
      <c r="K8" s="3" t="s">
        <v>19</v>
      </c>
      <c r="L8" s="3">
        <v>1</v>
      </c>
      <c r="M8" s="3">
        <v>0.05</v>
      </c>
      <c r="N8" s="3">
        <v>0.5</v>
      </c>
      <c r="O8" s="3">
        <v>0.4</v>
      </c>
      <c r="P8" s="3">
        <f t="shared" si="0"/>
        <v>0.38637033051562736</v>
      </c>
      <c r="Q8" s="2">
        <f t="shared" si="1"/>
        <v>0.63386278665240725</v>
      </c>
    </row>
    <row r="9" spans="1:17" ht="16" x14ac:dyDescent="0.2">
      <c r="A9" s="3" t="s">
        <v>23</v>
      </c>
      <c r="B9" s="3">
        <v>100</v>
      </c>
      <c r="C9" s="3">
        <v>100</v>
      </c>
      <c r="D9" s="3">
        <v>90</v>
      </c>
      <c r="E9" s="3" t="s">
        <v>24</v>
      </c>
      <c r="F9" s="3">
        <v>75</v>
      </c>
      <c r="G9" s="3">
        <v>105</v>
      </c>
      <c r="H9" s="3">
        <v>139.6</v>
      </c>
      <c r="I9" s="3">
        <v>97.3</v>
      </c>
      <c r="J9" s="3">
        <v>97.3</v>
      </c>
      <c r="K9" s="3" t="s">
        <v>20</v>
      </c>
      <c r="L9" s="3">
        <v>1</v>
      </c>
      <c r="M9" s="3">
        <v>0.3</v>
      </c>
      <c r="N9" s="3">
        <v>0.39</v>
      </c>
      <c r="O9" s="3">
        <v>0.3</v>
      </c>
      <c r="P9" s="3">
        <f t="shared" si="0"/>
        <v>0.2897777478867205</v>
      </c>
      <c r="Q9" s="2">
        <f t="shared" si="1"/>
        <v>0.57102639446027337</v>
      </c>
    </row>
    <row r="10" spans="1:17" ht="16" x14ac:dyDescent="0.2">
      <c r="A10" s="3" t="s">
        <v>23</v>
      </c>
      <c r="B10" s="3">
        <v>100</v>
      </c>
      <c r="C10" s="3">
        <v>100</v>
      </c>
      <c r="D10" s="3">
        <v>90</v>
      </c>
      <c r="E10" s="3" t="s">
        <v>24</v>
      </c>
      <c r="F10" s="3">
        <v>75</v>
      </c>
      <c r="G10" s="3">
        <v>105</v>
      </c>
      <c r="H10" s="3">
        <v>139.6</v>
      </c>
      <c r="I10" s="3">
        <v>97.3</v>
      </c>
      <c r="J10" s="3">
        <v>97.3</v>
      </c>
      <c r="K10" s="3" t="s">
        <v>21</v>
      </c>
      <c r="L10" s="3">
        <v>1</v>
      </c>
      <c r="M10" s="3">
        <v>0.59</v>
      </c>
      <c r="N10" s="3">
        <v>0.47</v>
      </c>
      <c r="O10" s="3">
        <v>0.5</v>
      </c>
      <c r="P10" s="3">
        <f t="shared" si="0"/>
        <v>0.48296291314453416</v>
      </c>
      <c r="Q10" s="2">
        <f t="shared" si="1"/>
        <v>0.89568586874699263</v>
      </c>
    </row>
    <row r="11" spans="1:17" ht="16" x14ac:dyDescent="0.2">
      <c r="A11" s="3" t="s">
        <v>25</v>
      </c>
      <c r="B11" s="3">
        <v>100</v>
      </c>
      <c r="C11" s="3">
        <v>100</v>
      </c>
      <c r="D11" s="3">
        <v>90</v>
      </c>
      <c r="E11" s="3" t="s">
        <v>24</v>
      </c>
      <c r="F11" s="3">
        <v>75</v>
      </c>
      <c r="G11" s="3">
        <v>75</v>
      </c>
      <c r="H11" s="3">
        <v>139.6</v>
      </c>
      <c r="I11" s="3">
        <v>102.7</v>
      </c>
      <c r="J11" s="3">
        <v>97.3</v>
      </c>
      <c r="K11" s="3" t="s">
        <v>19</v>
      </c>
      <c r="L11" s="3">
        <v>1</v>
      </c>
      <c r="M11" s="3">
        <v>0.28999999999999998</v>
      </c>
      <c r="N11" s="3">
        <v>0.13</v>
      </c>
      <c r="O11" s="3">
        <v>1.31</v>
      </c>
      <c r="P11" s="3">
        <f t="shared" si="0"/>
        <v>1.2653628324386796</v>
      </c>
      <c r="Q11" s="2">
        <f t="shared" si="1"/>
        <v>1.3046620626496495</v>
      </c>
    </row>
    <row r="12" spans="1:17" ht="16" x14ac:dyDescent="0.2">
      <c r="A12" s="3" t="s">
        <v>25</v>
      </c>
      <c r="B12" s="3">
        <v>100</v>
      </c>
      <c r="C12" s="3">
        <v>100</v>
      </c>
      <c r="D12" s="3">
        <v>90</v>
      </c>
      <c r="E12" s="3" t="s">
        <v>24</v>
      </c>
      <c r="F12" s="3">
        <v>75</v>
      </c>
      <c r="G12" s="3">
        <v>75</v>
      </c>
      <c r="H12" s="3">
        <v>139.6</v>
      </c>
      <c r="I12" s="3">
        <v>102.7</v>
      </c>
      <c r="J12" s="3">
        <v>97.3</v>
      </c>
      <c r="K12" s="3" t="s">
        <v>20</v>
      </c>
      <c r="L12" s="3">
        <v>1</v>
      </c>
      <c r="M12" s="3">
        <v>0.42</v>
      </c>
      <c r="N12" s="3">
        <v>0</v>
      </c>
      <c r="O12" s="3">
        <v>0.65</v>
      </c>
      <c r="P12" s="3">
        <f t="shared" si="0"/>
        <v>0.62785178708789446</v>
      </c>
      <c r="Q12" s="2">
        <f t="shared" si="1"/>
        <v>0.75537928655044728</v>
      </c>
    </row>
    <row r="13" spans="1:17" ht="16" x14ac:dyDescent="0.2">
      <c r="A13" s="3" t="s">
        <v>25</v>
      </c>
      <c r="B13" s="3">
        <v>100</v>
      </c>
      <c r="C13" s="3">
        <v>100</v>
      </c>
      <c r="D13" s="3">
        <v>90</v>
      </c>
      <c r="E13" s="3" t="s">
        <v>24</v>
      </c>
      <c r="F13" s="3">
        <v>75</v>
      </c>
      <c r="G13" s="3">
        <v>75</v>
      </c>
      <c r="H13" s="3">
        <v>139.6</v>
      </c>
      <c r="I13" s="3">
        <v>102.7</v>
      </c>
      <c r="J13" s="3">
        <v>97.3</v>
      </c>
      <c r="K13" s="3" t="s">
        <v>21</v>
      </c>
      <c r="L13" s="3">
        <v>1</v>
      </c>
      <c r="M13" s="3">
        <v>0.49</v>
      </c>
      <c r="N13" s="3">
        <v>0.16</v>
      </c>
      <c r="O13" s="3">
        <v>1.08</v>
      </c>
      <c r="P13" s="3">
        <f t="shared" si="0"/>
        <v>1.0431998923921939</v>
      </c>
      <c r="Q13" s="2">
        <f t="shared" si="1"/>
        <v>1.1636004535436917</v>
      </c>
    </row>
    <row r="14" spans="1:17" ht="16" x14ac:dyDescent="0.2">
      <c r="A14" s="3" t="s">
        <v>26</v>
      </c>
      <c r="B14" s="3">
        <v>60</v>
      </c>
      <c r="C14" s="3">
        <v>140</v>
      </c>
      <c r="D14" s="3">
        <v>80</v>
      </c>
      <c r="E14" s="3" t="s">
        <v>24</v>
      </c>
      <c r="F14" s="3">
        <v>75</v>
      </c>
      <c r="G14" s="3">
        <v>80</v>
      </c>
      <c r="H14" s="3">
        <v>129.30000000000001</v>
      </c>
      <c r="I14" s="3">
        <v>63.6</v>
      </c>
      <c r="J14" s="3">
        <v>134.6</v>
      </c>
      <c r="K14" s="3" t="s">
        <v>19</v>
      </c>
      <c r="L14" s="3">
        <v>1</v>
      </c>
      <c r="M14" s="3">
        <v>0.72</v>
      </c>
      <c r="N14" s="3">
        <v>0.9</v>
      </c>
      <c r="O14" s="3">
        <v>1.83</v>
      </c>
      <c r="P14" s="3">
        <f t="shared" si="0"/>
        <v>1.7676442621089952</v>
      </c>
      <c r="Q14" s="2">
        <f t="shared" si="1"/>
        <v>2.1102052595344496</v>
      </c>
    </row>
    <row r="15" spans="1:17" ht="16" x14ac:dyDescent="0.2">
      <c r="A15" s="3" t="s">
        <v>26</v>
      </c>
      <c r="B15" s="3">
        <v>60</v>
      </c>
      <c r="C15" s="3">
        <v>140</v>
      </c>
      <c r="D15" s="3">
        <v>80</v>
      </c>
      <c r="E15" s="3" t="s">
        <v>27</v>
      </c>
      <c r="F15" s="3">
        <v>75</v>
      </c>
      <c r="G15" s="3">
        <v>80</v>
      </c>
      <c r="H15" s="3">
        <v>129.30000000000001</v>
      </c>
      <c r="I15" s="3">
        <v>63.6</v>
      </c>
      <c r="J15" s="3">
        <v>134.6</v>
      </c>
      <c r="K15" s="3" t="s">
        <v>20</v>
      </c>
      <c r="L15" s="3">
        <v>1</v>
      </c>
      <c r="M15" s="3">
        <v>0</v>
      </c>
      <c r="N15" s="3">
        <v>0</v>
      </c>
      <c r="O15" s="3">
        <v>1.33</v>
      </c>
      <c r="P15" s="3">
        <f t="shared" si="0"/>
        <v>1.2846813489644608</v>
      </c>
      <c r="Q15" s="2">
        <f t="shared" si="1"/>
        <v>1.2846813489644608</v>
      </c>
    </row>
    <row r="16" spans="1:17" ht="16" x14ac:dyDescent="0.2">
      <c r="A16" s="3" t="s">
        <v>26</v>
      </c>
      <c r="B16" s="3">
        <v>60</v>
      </c>
      <c r="C16" s="3">
        <v>140</v>
      </c>
      <c r="D16" s="3">
        <v>80</v>
      </c>
      <c r="E16" s="3" t="s">
        <v>27</v>
      </c>
      <c r="F16" s="3">
        <v>75</v>
      </c>
      <c r="G16" s="3">
        <v>80</v>
      </c>
      <c r="H16" s="3">
        <v>129.30000000000001</v>
      </c>
      <c r="I16" s="3">
        <v>63.6</v>
      </c>
      <c r="J16" s="3">
        <v>134.6</v>
      </c>
      <c r="K16" s="3" t="s">
        <v>21</v>
      </c>
      <c r="L16" s="3">
        <v>1</v>
      </c>
      <c r="M16" s="3">
        <v>0.15</v>
      </c>
      <c r="N16" s="3">
        <v>0.37</v>
      </c>
      <c r="O16" s="3">
        <v>1.1599999999999999</v>
      </c>
      <c r="P16" s="3">
        <f t="shared" si="0"/>
        <v>1.1204739584953192</v>
      </c>
      <c r="Q16" s="2">
        <f t="shared" si="1"/>
        <v>1.1894796726578265</v>
      </c>
    </row>
    <row r="17" spans="1:17" ht="16" x14ac:dyDescent="0.2">
      <c r="A17" s="3" t="s">
        <v>28</v>
      </c>
      <c r="B17" s="3">
        <v>60</v>
      </c>
      <c r="C17" s="3">
        <v>70</v>
      </c>
      <c r="D17" s="3">
        <v>100</v>
      </c>
      <c r="E17" s="3" t="s">
        <v>27</v>
      </c>
      <c r="F17" s="3">
        <v>75</v>
      </c>
      <c r="G17" s="3">
        <v>80</v>
      </c>
      <c r="H17" s="3">
        <v>150</v>
      </c>
      <c r="I17" s="3">
        <v>60</v>
      </c>
      <c r="J17" s="3">
        <v>70</v>
      </c>
      <c r="K17" s="3" t="s">
        <v>19</v>
      </c>
      <c r="L17" s="3">
        <v>1</v>
      </c>
      <c r="M17" s="3">
        <v>0</v>
      </c>
      <c r="N17" s="3">
        <v>0.47</v>
      </c>
      <c r="O17" s="3">
        <v>0.43</v>
      </c>
      <c r="P17" s="3">
        <f t="shared" si="0"/>
        <v>0.41534810530429939</v>
      </c>
      <c r="Q17" s="2">
        <f t="shared" si="1"/>
        <v>0.62722727027758562</v>
      </c>
    </row>
    <row r="18" spans="1:17" ht="16" x14ac:dyDescent="0.2">
      <c r="A18" s="3" t="s">
        <v>28</v>
      </c>
      <c r="B18" s="3">
        <v>60</v>
      </c>
      <c r="C18" s="3">
        <v>70</v>
      </c>
      <c r="D18" s="3">
        <v>100</v>
      </c>
      <c r="E18" s="3" t="s">
        <v>27</v>
      </c>
      <c r="F18" s="3">
        <v>75</v>
      </c>
      <c r="G18" s="3">
        <v>80</v>
      </c>
      <c r="H18" s="3">
        <v>150</v>
      </c>
      <c r="I18" s="3">
        <v>60</v>
      </c>
      <c r="J18" s="3">
        <v>70</v>
      </c>
      <c r="K18" s="3" t="s">
        <v>20</v>
      </c>
      <c r="L18" s="3">
        <v>1</v>
      </c>
      <c r="M18" s="3">
        <v>0.37</v>
      </c>
      <c r="N18" s="3">
        <v>1.65</v>
      </c>
      <c r="O18" s="3">
        <v>1.69</v>
      </c>
      <c r="P18" s="3">
        <f t="shared" si="0"/>
        <v>1.6324146464285254</v>
      </c>
      <c r="Q18" s="2">
        <f t="shared" si="1"/>
        <v>2.3503569043603498</v>
      </c>
    </row>
    <row r="19" spans="1:17" ht="16" x14ac:dyDescent="0.2">
      <c r="A19" s="3" t="s">
        <v>28</v>
      </c>
      <c r="B19" s="3">
        <v>60</v>
      </c>
      <c r="C19" s="3">
        <v>70</v>
      </c>
      <c r="D19" s="3">
        <v>100</v>
      </c>
      <c r="E19" s="3" t="s">
        <v>27</v>
      </c>
      <c r="F19" s="3">
        <v>75</v>
      </c>
      <c r="G19" s="3">
        <v>80</v>
      </c>
      <c r="H19" s="3">
        <v>150</v>
      </c>
      <c r="I19" s="3">
        <v>60</v>
      </c>
      <c r="J19" s="3">
        <v>70</v>
      </c>
      <c r="K19" s="3" t="s">
        <v>21</v>
      </c>
      <c r="L19" s="3">
        <v>1</v>
      </c>
      <c r="M19" s="3">
        <v>0</v>
      </c>
      <c r="N19" s="3">
        <v>0.34</v>
      </c>
      <c r="O19" s="3">
        <v>0.51</v>
      </c>
      <c r="P19" s="3">
        <f t="shared" si="0"/>
        <v>0.49262217140742487</v>
      </c>
      <c r="Q19" s="2">
        <f t="shared" si="1"/>
        <v>0.59856211353723876</v>
      </c>
    </row>
  </sheetData>
  <conditionalFormatting sqref="Q2:Q19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8834-3208-48DC-9A4D-1D8F020BCC1B}">
  <dimension ref="A1:L19"/>
  <sheetViews>
    <sheetView zoomScale="150" zoomScaleNormal="150" workbookViewId="0">
      <selection activeCell="G2" sqref="G2:G19"/>
    </sheetView>
  </sheetViews>
  <sheetFormatPr baseColWidth="10" defaultColWidth="8.83203125" defaultRowHeight="15" x14ac:dyDescent="0.2"/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10</v>
      </c>
      <c r="I1" s="4" t="s">
        <v>12</v>
      </c>
      <c r="J1" s="4" t="s">
        <v>13</v>
      </c>
      <c r="K1" s="4" t="s">
        <v>15</v>
      </c>
      <c r="L1" s="4" t="s">
        <v>16</v>
      </c>
    </row>
    <row r="2" spans="1:12" ht="16" x14ac:dyDescent="0.2">
      <c r="A2" s="1" t="s">
        <v>17</v>
      </c>
      <c r="B2" s="1">
        <v>140</v>
      </c>
      <c r="C2" s="1">
        <v>140</v>
      </c>
      <c r="D2" s="1">
        <v>110</v>
      </c>
      <c r="E2" s="1" t="s">
        <v>18</v>
      </c>
      <c r="F2" s="1"/>
      <c r="G2" s="1"/>
      <c r="H2" s="1">
        <v>1</v>
      </c>
      <c r="I2" s="1"/>
      <c r="J2" s="1"/>
      <c r="K2" s="1"/>
      <c r="L2" s="1">
        <f t="shared" ref="L2:L19" si="0">SQRT(SUMSQ(I2,J2,K2))</f>
        <v>0</v>
      </c>
    </row>
    <row r="3" spans="1:12" ht="16" x14ac:dyDescent="0.2">
      <c r="A3" s="1" t="s">
        <v>17</v>
      </c>
      <c r="B3" s="1">
        <v>140</v>
      </c>
      <c r="C3" s="1">
        <v>140</v>
      </c>
      <c r="D3" s="1">
        <v>110</v>
      </c>
      <c r="E3" s="1" t="s">
        <v>18</v>
      </c>
      <c r="F3" s="1"/>
      <c r="G3" s="1"/>
      <c r="H3" s="1">
        <v>2</v>
      </c>
      <c r="I3" s="1"/>
      <c r="J3" s="1"/>
      <c r="K3" s="1"/>
      <c r="L3" s="1">
        <f t="shared" si="0"/>
        <v>0</v>
      </c>
    </row>
    <row r="4" spans="1:12" ht="16" x14ac:dyDescent="0.2">
      <c r="A4" s="1" t="s">
        <v>17</v>
      </c>
      <c r="B4" s="1">
        <v>140</v>
      </c>
      <c r="C4" s="1">
        <v>140</v>
      </c>
      <c r="D4" s="1">
        <v>110</v>
      </c>
      <c r="E4" s="1" t="s">
        <v>18</v>
      </c>
      <c r="F4" s="1"/>
      <c r="G4" s="1"/>
      <c r="H4" s="1">
        <v>3</v>
      </c>
      <c r="I4" s="1"/>
      <c r="J4" s="1"/>
      <c r="K4" s="1"/>
      <c r="L4" s="1">
        <f t="shared" si="0"/>
        <v>0</v>
      </c>
    </row>
    <row r="5" spans="1:12" ht="16" x14ac:dyDescent="0.2">
      <c r="A5" s="1" t="s">
        <v>22</v>
      </c>
      <c r="B5" s="1">
        <v>140</v>
      </c>
      <c r="C5" s="1">
        <v>70</v>
      </c>
      <c r="D5" s="1">
        <v>70</v>
      </c>
      <c r="E5" s="1" t="s">
        <v>18</v>
      </c>
      <c r="F5" s="1">
        <v>55</v>
      </c>
      <c r="G5" s="1">
        <v>105</v>
      </c>
      <c r="H5" s="1">
        <v>1</v>
      </c>
      <c r="I5" s="1">
        <v>0.9</v>
      </c>
      <c r="J5" s="1">
        <v>0.5</v>
      </c>
      <c r="K5" s="1">
        <v>0.9</v>
      </c>
      <c r="L5" s="1">
        <f t="shared" si="0"/>
        <v>1.3674794331177345</v>
      </c>
    </row>
    <row r="6" spans="1:12" ht="16" x14ac:dyDescent="0.2">
      <c r="A6" s="1" t="s">
        <v>22</v>
      </c>
      <c r="B6" s="1">
        <v>140</v>
      </c>
      <c r="C6" s="1">
        <v>70</v>
      </c>
      <c r="D6" s="1">
        <v>70</v>
      </c>
      <c r="E6" s="1" t="s">
        <v>18</v>
      </c>
      <c r="F6" s="1">
        <v>55</v>
      </c>
      <c r="G6" s="1">
        <v>105</v>
      </c>
      <c r="H6" s="1">
        <v>2</v>
      </c>
      <c r="I6" s="1">
        <v>0.8</v>
      </c>
      <c r="J6" s="1">
        <v>0.5</v>
      </c>
      <c r="K6" s="1">
        <v>0.1</v>
      </c>
      <c r="L6" s="1">
        <f t="shared" si="0"/>
        <v>0.94868329805051388</v>
      </c>
    </row>
    <row r="7" spans="1:12" ht="16" x14ac:dyDescent="0.2">
      <c r="A7" s="1" t="s">
        <v>22</v>
      </c>
      <c r="B7" s="1">
        <v>140</v>
      </c>
      <c r="C7" s="1">
        <v>70</v>
      </c>
      <c r="D7" s="1">
        <v>70</v>
      </c>
      <c r="E7" s="1" t="s">
        <v>18</v>
      </c>
      <c r="F7" s="1">
        <v>55</v>
      </c>
      <c r="G7" s="1">
        <v>105</v>
      </c>
      <c r="H7" s="1">
        <v>3</v>
      </c>
      <c r="I7" s="1">
        <v>0.9</v>
      </c>
      <c r="J7" s="1">
        <v>0.5</v>
      </c>
      <c r="K7" s="1">
        <v>0.3</v>
      </c>
      <c r="L7" s="1">
        <f t="shared" si="0"/>
        <v>1.0723805294763609</v>
      </c>
    </row>
    <row r="8" spans="1:12" ht="16" x14ac:dyDescent="0.2">
      <c r="A8" s="1" t="s">
        <v>23</v>
      </c>
      <c r="B8" s="1">
        <v>100</v>
      </c>
      <c r="C8" s="1">
        <v>100</v>
      </c>
      <c r="D8" s="1">
        <v>90</v>
      </c>
      <c r="E8" s="1" t="s">
        <v>24</v>
      </c>
      <c r="F8" s="1"/>
      <c r="G8" s="1"/>
      <c r="H8" s="1">
        <v>1</v>
      </c>
      <c r="I8" s="1"/>
      <c r="J8" s="1"/>
      <c r="K8" s="1"/>
      <c r="L8" s="1">
        <f t="shared" si="0"/>
        <v>0</v>
      </c>
    </row>
    <row r="9" spans="1:12" ht="16" x14ac:dyDescent="0.2">
      <c r="A9" s="1" t="s">
        <v>23</v>
      </c>
      <c r="B9" s="1">
        <v>100</v>
      </c>
      <c r="C9" s="1">
        <v>100</v>
      </c>
      <c r="D9" s="1">
        <v>90</v>
      </c>
      <c r="E9" s="1" t="s">
        <v>24</v>
      </c>
      <c r="F9" s="1"/>
      <c r="G9" s="1"/>
      <c r="H9" s="1">
        <v>2</v>
      </c>
      <c r="I9" s="1"/>
      <c r="J9" s="1"/>
      <c r="K9" s="1"/>
      <c r="L9" s="1">
        <f t="shared" si="0"/>
        <v>0</v>
      </c>
    </row>
    <row r="10" spans="1:12" ht="16" x14ac:dyDescent="0.2">
      <c r="A10" s="1" t="s">
        <v>23</v>
      </c>
      <c r="B10" s="1">
        <v>100</v>
      </c>
      <c r="C10" s="1">
        <v>100</v>
      </c>
      <c r="D10" s="1">
        <v>90</v>
      </c>
      <c r="E10" s="1" t="s">
        <v>24</v>
      </c>
      <c r="F10" s="1"/>
      <c r="G10" s="1"/>
      <c r="H10" s="1">
        <v>3</v>
      </c>
      <c r="I10" s="1"/>
      <c r="J10" s="1"/>
      <c r="K10" s="1"/>
      <c r="L10" s="1">
        <f t="shared" si="0"/>
        <v>0</v>
      </c>
    </row>
    <row r="11" spans="1:12" ht="16" x14ac:dyDescent="0.2">
      <c r="A11" s="1" t="s">
        <v>25</v>
      </c>
      <c r="B11" s="1">
        <v>100</v>
      </c>
      <c r="C11" s="1">
        <v>100</v>
      </c>
      <c r="D11" s="1">
        <v>90</v>
      </c>
      <c r="E11" s="1" t="s">
        <v>24</v>
      </c>
      <c r="F11" s="1">
        <v>55</v>
      </c>
      <c r="G11" s="1">
        <v>60</v>
      </c>
      <c r="H11" s="1">
        <v>1</v>
      </c>
      <c r="I11" s="1">
        <v>0.5</v>
      </c>
      <c r="J11" s="1">
        <v>0.2</v>
      </c>
      <c r="K11" s="1">
        <v>0.9</v>
      </c>
      <c r="L11" s="1">
        <f t="shared" si="0"/>
        <v>1.0488088481701516</v>
      </c>
    </row>
    <row r="12" spans="1:12" ht="16" x14ac:dyDescent="0.2">
      <c r="A12" s="1" t="s">
        <v>25</v>
      </c>
      <c r="B12" s="1">
        <v>100</v>
      </c>
      <c r="C12" s="1">
        <v>100</v>
      </c>
      <c r="D12" s="1">
        <v>90</v>
      </c>
      <c r="E12" s="1" t="s">
        <v>24</v>
      </c>
      <c r="F12" s="1">
        <v>55</v>
      </c>
      <c r="G12" s="1">
        <v>60</v>
      </c>
      <c r="H12" s="1">
        <v>2</v>
      </c>
      <c r="I12" s="1">
        <v>1</v>
      </c>
      <c r="J12" s="1">
        <v>0.1</v>
      </c>
      <c r="K12" s="1">
        <v>0.3</v>
      </c>
      <c r="L12" s="1">
        <f t="shared" si="0"/>
        <v>1.0488088481701516</v>
      </c>
    </row>
    <row r="13" spans="1:12" ht="16" x14ac:dyDescent="0.2">
      <c r="A13" s="1" t="s">
        <v>25</v>
      </c>
      <c r="B13" s="1">
        <v>100</v>
      </c>
      <c r="C13" s="1">
        <v>100</v>
      </c>
      <c r="D13" s="1">
        <v>90</v>
      </c>
      <c r="E13" s="1" t="s">
        <v>24</v>
      </c>
      <c r="F13" s="1">
        <v>55</v>
      </c>
      <c r="G13" s="1">
        <v>60</v>
      </c>
      <c r="H13" s="1">
        <v>3</v>
      </c>
      <c r="I13" s="1">
        <v>0.8</v>
      </c>
      <c r="J13" s="1">
        <v>0.1</v>
      </c>
      <c r="K13" s="1">
        <v>0.1</v>
      </c>
      <c r="L13" s="1">
        <f t="shared" si="0"/>
        <v>0.81240384046359615</v>
      </c>
    </row>
    <row r="14" spans="1:12" ht="16" x14ac:dyDescent="0.2">
      <c r="A14" s="1" t="s">
        <v>26</v>
      </c>
      <c r="B14" s="1">
        <v>60</v>
      </c>
      <c r="C14" s="1">
        <v>140</v>
      </c>
      <c r="D14" s="1">
        <v>80</v>
      </c>
      <c r="E14" s="1" t="s">
        <v>24</v>
      </c>
      <c r="F14" s="1">
        <v>55</v>
      </c>
      <c r="G14" s="1">
        <v>60</v>
      </c>
      <c r="H14" s="1">
        <v>1</v>
      </c>
      <c r="I14" s="1">
        <v>0.8</v>
      </c>
      <c r="J14" s="1">
        <v>1.1000000000000001</v>
      </c>
      <c r="K14" s="1">
        <v>0.1</v>
      </c>
      <c r="L14" s="1">
        <f t="shared" si="0"/>
        <v>1.3638181696985856</v>
      </c>
    </row>
    <row r="15" spans="1:12" ht="16" x14ac:dyDescent="0.2">
      <c r="A15" s="1" t="s">
        <v>26</v>
      </c>
      <c r="B15" s="1">
        <v>60</v>
      </c>
      <c r="C15" s="1">
        <v>140</v>
      </c>
      <c r="D15" s="1">
        <v>80</v>
      </c>
      <c r="E15" s="1" t="s">
        <v>27</v>
      </c>
      <c r="F15" s="1">
        <v>55</v>
      </c>
      <c r="G15" s="1">
        <v>60</v>
      </c>
      <c r="H15" s="1">
        <v>2</v>
      </c>
      <c r="I15" s="1">
        <v>1.5</v>
      </c>
      <c r="J15" s="1">
        <v>0.4</v>
      </c>
      <c r="K15" s="1">
        <v>0.1</v>
      </c>
      <c r="L15" s="1">
        <f t="shared" si="0"/>
        <v>1.5556349186104046</v>
      </c>
    </row>
    <row r="16" spans="1:12" ht="16" x14ac:dyDescent="0.2">
      <c r="A16" s="1" t="s">
        <v>26</v>
      </c>
      <c r="B16" s="1">
        <v>60</v>
      </c>
      <c r="C16" s="1">
        <v>140</v>
      </c>
      <c r="D16" s="1">
        <v>80</v>
      </c>
      <c r="E16" s="1" t="s">
        <v>27</v>
      </c>
      <c r="F16" s="1">
        <v>55</v>
      </c>
      <c r="G16" s="1">
        <v>60</v>
      </c>
      <c r="H16" s="1">
        <v>3</v>
      </c>
      <c r="I16" s="1">
        <v>1.6</v>
      </c>
      <c r="J16" s="1">
        <v>0.6</v>
      </c>
      <c r="K16" s="1">
        <v>0.2</v>
      </c>
      <c r="L16" s="1">
        <f t="shared" si="0"/>
        <v>1.7204650534085255</v>
      </c>
    </row>
    <row r="17" spans="1:12" ht="16" x14ac:dyDescent="0.2">
      <c r="A17" s="1" t="s">
        <v>28</v>
      </c>
      <c r="B17" s="1">
        <v>60</v>
      </c>
      <c r="C17" s="1">
        <v>70</v>
      </c>
      <c r="D17" s="1">
        <v>100</v>
      </c>
      <c r="E17" s="1" t="s">
        <v>27</v>
      </c>
      <c r="F17" s="1">
        <v>55</v>
      </c>
      <c r="G17" s="1">
        <v>60</v>
      </c>
      <c r="H17" s="1">
        <v>1</v>
      </c>
      <c r="I17" s="1">
        <v>0.8</v>
      </c>
      <c r="J17" s="1">
        <v>0.1</v>
      </c>
      <c r="K17" s="1">
        <v>0.2</v>
      </c>
      <c r="L17" s="1">
        <f t="shared" si="0"/>
        <v>0.83066238629180755</v>
      </c>
    </row>
    <row r="18" spans="1:12" ht="16" x14ac:dyDescent="0.2">
      <c r="A18" s="1" t="s">
        <v>28</v>
      </c>
      <c r="B18" s="1">
        <v>60</v>
      </c>
      <c r="C18" s="1">
        <v>70</v>
      </c>
      <c r="D18" s="1">
        <v>100</v>
      </c>
      <c r="E18" s="1" t="s">
        <v>27</v>
      </c>
      <c r="F18" s="1">
        <v>55</v>
      </c>
      <c r="G18" s="1">
        <v>60</v>
      </c>
      <c r="H18" s="1">
        <v>2</v>
      </c>
      <c r="I18" s="1">
        <v>1.5</v>
      </c>
      <c r="J18" s="1">
        <v>0.1</v>
      </c>
      <c r="K18" s="1">
        <v>0.3</v>
      </c>
      <c r="L18" s="1">
        <f t="shared" si="0"/>
        <v>1.532970971675589</v>
      </c>
    </row>
    <row r="19" spans="1:12" ht="16" x14ac:dyDescent="0.2">
      <c r="A19" s="1" t="s">
        <v>28</v>
      </c>
      <c r="B19" s="1">
        <v>60</v>
      </c>
      <c r="C19" s="1">
        <v>70</v>
      </c>
      <c r="D19" s="1">
        <v>100</v>
      </c>
      <c r="E19" s="1" t="s">
        <v>27</v>
      </c>
      <c r="F19" s="1">
        <v>55</v>
      </c>
      <c r="G19" s="1">
        <v>60</v>
      </c>
      <c r="H19" s="1">
        <v>3</v>
      </c>
      <c r="I19" s="1">
        <v>1.1000000000000001</v>
      </c>
      <c r="J19" s="1">
        <v>0.6</v>
      </c>
      <c r="K19" s="1">
        <v>0.1</v>
      </c>
      <c r="L19" s="1">
        <f t="shared" si="0"/>
        <v>1.2569805089976536</v>
      </c>
    </row>
  </sheetData>
  <conditionalFormatting sqref="L2:L19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adjusted_position</vt:lpstr>
      <vt:lpstr>adapter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Kulkarni Aditya</cp:lastModifiedBy>
  <cp:revision/>
  <dcterms:created xsi:type="dcterms:W3CDTF">2026-03-21T21:30:50Z</dcterms:created>
  <dcterms:modified xsi:type="dcterms:W3CDTF">2026-03-21T22:41:20Z</dcterms:modified>
  <cp:category/>
  <cp:contentStatus/>
</cp:coreProperties>
</file>